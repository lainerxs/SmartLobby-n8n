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tor Board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<sst xmlns="http://schemas.openxmlformats.org/spreadsheetml/2006/main" count="45" uniqueCount="41">
  <si>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Visit ID</t>
  </si>
  <si>
    <t xml:space="preserve">Date</t>
  </si>
  <si>
    <t xml:space="preserve">Time In</t>
  </si>
  <si>
    <t xml:space="preserve">Visitor</t>
  </si>
  <si>
    <t xml:space="preserve">Phone</t>
  </si>
  <si>
    <t xml:space="preserve">Email</t>
  </si>
  <si>
    <t xml:space="preserve">Company</t>
  </si>
  <si>
    <t xml:space="preserve">Visit Type</t>
  </si>
  <si>
    <t xml:space="preserve">Host</t>
  </si>
  <si>
    <t xml:space="preserve">Purpose of Visit</t>
  </si>
  <si>
    <t xml:space="preserve">Status</t>
  </si>
  <si>
    <t xml:space="preserve">Instructions</t>
  </si>
  <si>
    <t xml:space="preserve">Responded At</t>
  </si>
  <si>
    <t xml:space="preserve">SmartLobby - Front Desk Dashboard</t>
  </si>
  <si>
    <t xml:space="preserve">Updates automatically from the Visitor Board tab. Don't type here.</t>
  </si>
  <si>
    <t xml:space="preserve">Today</t>
  </si>
  <si>
    <t xml:space="preserve">All time</t>
  </si>
  <si>
    <t xml:space="preserve">Waiting for host</t>
  </si>
  <si>
    <t xml:space="preserve">Sent in</t>
  </si>
  <si>
    <t xml:space="preserve">Waiting in lobby</t>
  </si>
  <si>
    <t xml:space="preserve">Rescheduled</t>
  </si>
  <si>
    <t xml:space="preserve">Left at front desk</t>
  </si>
  <si>
    <t xml:space="preserve">No response - front desk calling</t>
  </si>
  <si>
    <t xml:space="preserve">Employee Unavailable</t>
  </si>
  <si>
    <t xml:space="preserve">Front desk to assist</t>
  </si>
  <si>
    <t xml:space="preserve">Total visitors</t>
  </si>
  <si>
    <t xml:space="preserve">Walk-in Applicant</t>
  </si>
  <si>
    <t xml:space="preserve">Scheduled Interview / Appointment</t>
  </si>
  <si>
    <t xml:space="preserve">Delivery</t>
  </si>
  <si>
    <t xml:space="preserve">Maintenance / Repair</t>
  </si>
  <si>
    <t xml:space="preserve">Meeting</t>
  </si>
  <si>
    <t xml:space="preserve">Other</t>
  </si>
  <si>
    <t xml:space="preserve">How to use this template</t>
  </si>
  <si>
    <t xml:space="preserve">1. Upload this file to Google Drive, then open it with Google Sheets (File &gt; Save as Google Sheets if it opens as .xlsx).</t>
  </si>
  <si>
    <t xml:space="preserve">2. In n8n, open each Google Sheets node (Board: Waiting, Board: Calling Host, Board: Update Status), choose this spreadsheet and the 'Visitor Board' tab. Match on Visit ID for the two update nodes.</t>
  </si>
  <si>
    <t xml:space="preserve">3. The workflow fills 'Visitor Board' by itself. Don't rename the headers in row 1 - n8n matches columns by these exact names.</t>
  </si>
  <si>
    <t xml:space="preserve">4. Rows are colored by Status automatically. The 'Dashboard' tab counts today's and all-time visitors.</t>
  </si>
  <si>
    <t xml:space="preserve">Example row (what n8n writes - do not copy into the board):</t>
  </si>
  <si>
    <t xml:space="preserve">Visit ID | Date | Time In | Visitor | Phone | Email | Company | Visit Type | Host | Purpose of Visit | Status | Instructions | Responded At</t>
  </si>
  <si>
    <t xml:space="preserve">V-0926-143005 | 2026-09-26 | 14:30 | Ana Dela Cruz | 0917 123 4567 | ana@email.com | - | Walk-in Applicant | Maria Santos | Applying for admin assistant | Sent in | Please proceed to Room 2, 3rd floor. Maria Santos is ready for you. | 14:34</t>
  </si>
  <si>
    <t xml:space="preserve">Status values: Waiting for host (yellow), Sent in (green), Waiting in lobby (blue), Rescheduled (orange), Left at front desk (gray), No response - front desk calling (red), Employee Unavailable (purple), Front desk to assist (gold).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</si>
</sst>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:mm"/>
    <numFmt numFmtId="167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EEEEEE"/>
        <bgColor rgb="FFD9EAD3"/>
      </patternFill>
    </fill>
    <fill>
      <patternFill patternType="solid">
        <fgColor rgb="FFF4CCCC"/>
        <bgColor rgb="FFD9D2E9"/>
      </patternFill>
    </fill>
    <fill>
      <patternFill patternType="solid">
        <fgColor rgb="FFD9D2E9"/>
        <bgColor rgb="FFCFE2F3"/>
      </patternFill>
    </fill>
    <fill>
      <patternFill patternType="solid">
        <fgColor rgb="FFFFE599"/>
        <bgColor rgb="FFFCE5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CFE2F3"/>
        </patternFill>
      </fill>
    </dxf>
    <dxf>
      <fill>
        <patternFill>
          <bgColor rgb="FFFCE5CD"/>
        </patternFill>
      </fill>
    </dxf>
    <dxf>
      <fill>
        <patternFill>
          <bgColor rgb="FFEEEEEE"/>
        </patternFill>
      </fill>
    </dxf>
    <dxf>
      <fill>
        <patternFill>
          <bgColor rgb="FFF4CCCC"/>
        </patternFill>
      </fill>
    </dxf>
    <dxf>
      <fill>
        <patternFill>
          <bgColor rgb="FFD9D2E9"/>
        </patternFill>
      </fill>
    </dxf>
    <dxf>
      <fill>
        <patternFill>
          <bgColor rgb="FFFFE5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5CD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11" min="11" style="0" width="26"/>
    <col collapsed="false" customWidth="true" hidden="false" outlineLevel="0" max="12" min="12" style="0" width="48"/>
    <col collapsed="false" customWidth="true" hidden="false" outlineLevel="0" max="13" min="13" style="0" width="31.8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4"/>
      <c r="C2" s="5"/>
      <c r="D2" s="3"/>
      <c r="E2" s="3"/>
      <c r="F2" s="3"/>
      <c r="G2" s="3"/>
      <c r="H2" s="3"/>
      <c r="I2" s="3"/>
      <c r="J2" s="3"/>
      <c r="K2" s="3"/>
      <c r="L2" s="6"/>
      <c r="M2" s="5"/>
    </row>
    <row r="3" customFormat="false" ht="15" hidden="false" customHeight="false" outlineLevel="0" collapsed="false">
      <c r="A3" s="3"/>
      <c r="B3" s="4"/>
      <c r="C3" s="5"/>
      <c r="D3" s="3"/>
      <c r="E3" s="3"/>
      <c r="F3" s="3"/>
      <c r="G3" s="3"/>
      <c r="H3" s="3"/>
      <c r="I3" s="3"/>
      <c r="J3" s="3"/>
      <c r="K3" s="3"/>
      <c r="L3" s="6"/>
      <c r="M3" s="5"/>
    </row>
    <row r="4" customFormat="false" ht="15" hidden="false" customHeight="false" outlineLevel="0" collapsed="false">
      <c r="A4" s="3"/>
      <c r="B4" s="4"/>
      <c r="C4" s="5"/>
      <c r="D4" s="3"/>
      <c r="E4" s="3"/>
      <c r="F4" s="3"/>
      <c r="G4" s="3"/>
      <c r="H4" s="3"/>
      <c r="I4" s="3"/>
      <c r="J4" s="3"/>
      <c r="K4" s="3"/>
      <c r="L4" s="6"/>
      <c r="M4" s="5"/>
    </row>
    <row r="5" customFormat="false" ht="15" hidden="false" customHeight="false" outlineLevel="0" collapsed="false">
      <c r="A5" s="3"/>
      <c r="B5" s="4"/>
      <c r="C5" s="5"/>
      <c r="D5" s="3"/>
      <c r="E5" s="3"/>
      <c r="F5" s="3"/>
      <c r="G5" s="3"/>
      <c r="H5" s="3"/>
      <c r="I5" s="3"/>
      <c r="J5" s="3"/>
      <c r="K5" s="3"/>
      <c r="L5" s="6"/>
      <c r="M5" s="5"/>
    </row>
    <row r="6" customFormat="false" ht="15" hidden="false" customHeight="false" outlineLevel="0" collapsed="false">
      <c r="A6" s="3"/>
      <c r="B6" s="4"/>
      <c r="C6" s="5"/>
      <c r="D6" s="3"/>
      <c r="E6" s="3"/>
      <c r="F6" s="3"/>
      <c r="G6" s="3"/>
      <c r="H6" s="3"/>
      <c r="I6" s="3"/>
      <c r="J6" s="3"/>
      <c r="K6" s="3"/>
      <c r="L6" s="6"/>
      <c r="M6" s="3"/>
    </row>
    <row r="7" customFormat="false" ht="15" hidden="false" customHeight="false" outlineLevel="0" collapsed="false">
      <c r="A7" s="3"/>
      <c r="B7" s="4"/>
      <c r="C7" s="5"/>
      <c r="D7" s="3"/>
      <c r="E7" s="3"/>
      <c r="F7" s="3"/>
      <c r="G7" s="3"/>
      <c r="H7" s="3"/>
      <c r="I7" s="3"/>
      <c r="J7" s="3"/>
      <c r="K7" s="3"/>
      <c r="L7" s="6"/>
      <c r="M7" s="5"/>
    </row>
    <row r="8" customFormat="false" ht="15" hidden="false" customHeight="false" outlineLevel="0" collapsed="false">
      <c r="A8" s="3"/>
      <c r="B8" s="4"/>
      <c r="C8" s="5"/>
      <c r="D8" s="3"/>
      <c r="E8" s="3"/>
      <c r="F8" s="3"/>
      <c r="G8" s="3"/>
      <c r="H8" s="3"/>
      <c r="I8" s="3"/>
      <c r="J8" s="3"/>
      <c r="K8" s="3"/>
      <c r="L8" s="6"/>
      <c r="M8" s="5"/>
    </row>
    <row r="9" customFormat="false" ht="15" hidden="false" customHeight="false" outlineLevel="0" collapsed="false">
      <c r="A9" s="3"/>
      <c r="B9" s="4"/>
      <c r="C9" s="5"/>
      <c r="D9" s="3"/>
      <c r="E9" s="3"/>
      <c r="F9" s="3"/>
      <c r="G9" s="3"/>
      <c r="H9" s="3"/>
      <c r="I9" s="3"/>
      <c r="J9" s="3"/>
      <c r="K9" s="3"/>
      <c r="L9" s="6"/>
      <c r="M9" s="3"/>
    </row>
    <row r="10" customFormat="false" ht="15" hidden="false" customHeight="false" outlineLevel="0" collapsed="false">
      <c r="A10" s="3"/>
      <c r="B10" s="4"/>
      <c r="C10" s="5"/>
      <c r="D10" s="3"/>
      <c r="E10" s="3"/>
      <c r="F10" s="3"/>
      <c r="G10" s="3"/>
      <c r="H10" s="3"/>
      <c r="I10" s="3"/>
      <c r="J10" s="3"/>
      <c r="K10" s="3"/>
      <c r="L10" s="6"/>
      <c r="M10" s="3"/>
    </row>
    <row r="11" customFormat="false" ht="15" hidden="false" customHeight="false" outlineLevel="0" collapsed="false">
      <c r="A11" s="3"/>
      <c r="B11" s="4"/>
      <c r="C11" s="5"/>
      <c r="D11" s="3"/>
      <c r="E11" s="3"/>
      <c r="F11" s="3"/>
      <c r="G11" s="3"/>
      <c r="H11" s="3"/>
      <c r="I11" s="3"/>
      <c r="J11" s="3"/>
      <c r="K11" s="3"/>
      <c r="L11" s="6"/>
      <c r="M11" s="5"/>
    </row>
    <row r="12" customFormat="false" ht="15" hidden="false" customHeight="false" outlineLevel="0" collapsed="false">
      <c r="A12" s="3"/>
      <c r="B12" s="4"/>
      <c r="C12" s="5"/>
      <c r="D12" s="3"/>
      <c r="E12" s="3"/>
      <c r="F12" s="3"/>
      <c r="G12" s="3"/>
      <c r="H12" s="3"/>
      <c r="I12" s="3"/>
      <c r="J12" s="3"/>
      <c r="K12" s="3"/>
      <c r="L12" s="6"/>
      <c r="M12" s="3"/>
    </row>
    <row r="13" customFormat="false" ht="15" hidden="false" customHeight="false" outlineLevel="0" collapsed="false">
      <c r="A13" s="3"/>
      <c r="B13" s="4"/>
      <c r="C13" s="5"/>
      <c r="D13" s="3"/>
      <c r="E13" s="3"/>
      <c r="F13" s="3"/>
      <c r="G13" s="3"/>
      <c r="H13" s="3"/>
      <c r="I13" s="3"/>
      <c r="J13" s="3"/>
      <c r="K13" s="3"/>
      <c r="L13" s="6"/>
      <c r="M13" s="3"/>
    </row>
    <row r="14" customFormat="false" ht="15" hidden="false" customHeight="false" outlineLevel="0" collapsed="false">
      <c r="A14" s="3"/>
      <c r="B14" s="4"/>
      <c r="C14" s="5"/>
      <c r="D14" s="3"/>
      <c r="E14" s="3"/>
      <c r="F14" s="3"/>
      <c r="G14" s="3"/>
      <c r="H14" s="3"/>
      <c r="I14" s="3"/>
      <c r="J14" s="3"/>
      <c r="K14" s="3"/>
      <c r="L14" s="6"/>
      <c r="M14" s="5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6"/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6"/>
      <c r="M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6"/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6"/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6"/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6"/>
      <c r="M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6"/>
      <c r="M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6"/>
      <c r="M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6"/>
      <c r="M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6"/>
      <c r="M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6"/>
      <c r="M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6"/>
      <c r="M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6"/>
      <c r="M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6"/>
      <c r="M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6"/>
      <c r="M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6"/>
      <c r="M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6"/>
      <c r="M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6"/>
      <c r="M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6"/>
      <c r="M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6"/>
      <c r="M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6"/>
      <c r="M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6"/>
      <c r="M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6"/>
      <c r="M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6"/>
      <c r="M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6"/>
      <c r="M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6"/>
      <c r="M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6"/>
      <c r="M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6"/>
      <c r="M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6"/>
      <c r="M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6"/>
      <c r="M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6"/>
      <c r="M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6"/>
      <c r="M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6"/>
      <c r="M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6"/>
      <c r="M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6"/>
      <c r="M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6"/>
      <c r="M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6"/>
      <c r="M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6"/>
      <c r="M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6"/>
      <c r="M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6"/>
      <c r="M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6"/>
      <c r="M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6"/>
      <c r="M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6"/>
      <c r="M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6"/>
      <c r="M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6"/>
      <c r="M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6"/>
      <c r="M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6"/>
      <c r="M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6"/>
      <c r="M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6"/>
      <c r="M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6"/>
      <c r="M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6"/>
      <c r="M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6"/>
      <c r="M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6"/>
      <c r="M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6"/>
      <c r="M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6"/>
      <c r="M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6"/>
      <c r="M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6"/>
      <c r="M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6"/>
      <c r="M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6"/>
      <c r="M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6"/>
      <c r="M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6"/>
      <c r="M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6"/>
      <c r="M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6"/>
      <c r="M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6"/>
      <c r="M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6"/>
      <c r="M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6"/>
      <c r="M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6"/>
      <c r="M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6"/>
      <c r="M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6"/>
      <c r="M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6"/>
      <c r="M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6"/>
      <c r="M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6"/>
      <c r="M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6"/>
      <c r="M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6"/>
      <c r="M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6"/>
      <c r="M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6"/>
      <c r="M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6"/>
      <c r="M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6"/>
      <c r="M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6"/>
      <c r="M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6"/>
      <c r="M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6"/>
      <c r="M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6"/>
      <c r="M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6"/>
      <c r="M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6"/>
      <c r="M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6"/>
      <c r="M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6"/>
      <c r="M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6"/>
      <c r="M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6"/>
      <c r="M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6"/>
      <c r="M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6"/>
      <c r="M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6"/>
      <c r="M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6"/>
      <c r="M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6"/>
      <c r="M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6"/>
      <c r="M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6"/>
      <c r="M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6"/>
      <c r="M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6"/>
      <c r="M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6"/>
      <c r="M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6"/>
      <c r="M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6"/>
      <c r="M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6"/>
      <c r="M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6"/>
      <c r="M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6"/>
      <c r="M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6"/>
      <c r="M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6"/>
      <c r="M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6"/>
      <c r="M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6"/>
      <c r="M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6"/>
      <c r="M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6"/>
      <c r="M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6"/>
      <c r="M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6"/>
      <c r="M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6"/>
      <c r="M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6"/>
      <c r="M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6"/>
      <c r="M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6"/>
      <c r="M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6"/>
      <c r="M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6"/>
      <c r="M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6"/>
      <c r="M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6"/>
      <c r="M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6"/>
      <c r="M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6"/>
      <c r="M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6"/>
      <c r="M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6"/>
      <c r="M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6"/>
      <c r="M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6"/>
      <c r="M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6"/>
      <c r="M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6"/>
      <c r="M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6"/>
      <c r="M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6"/>
      <c r="M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6"/>
      <c r="M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6"/>
      <c r="M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6"/>
      <c r="M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6"/>
      <c r="M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6"/>
      <c r="M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6"/>
      <c r="M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6"/>
      <c r="M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6"/>
      <c r="M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6"/>
      <c r="M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6"/>
      <c r="M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6"/>
      <c r="M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6"/>
      <c r="M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6"/>
      <c r="M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6"/>
      <c r="M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6"/>
      <c r="M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6"/>
      <c r="M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6"/>
      <c r="M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6"/>
      <c r="M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6"/>
      <c r="M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6"/>
      <c r="M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6"/>
      <c r="M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6"/>
      <c r="M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6"/>
      <c r="M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6"/>
      <c r="M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6"/>
      <c r="M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6"/>
      <c r="M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6"/>
      <c r="M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6"/>
      <c r="M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6"/>
      <c r="M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6"/>
      <c r="M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6"/>
      <c r="M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6"/>
      <c r="M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6"/>
      <c r="M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6"/>
      <c r="M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6"/>
      <c r="M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6"/>
      <c r="M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6"/>
      <c r="M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6"/>
      <c r="M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6"/>
      <c r="M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6"/>
      <c r="M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6"/>
      <c r="M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6"/>
      <c r="M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6"/>
      <c r="M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6"/>
      <c r="M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6"/>
      <c r="M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6"/>
      <c r="M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6"/>
      <c r="M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6"/>
      <c r="M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6"/>
      <c r="M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6"/>
      <c r="M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6"/>
      <c r="M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6"/>
      <c r="M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6"/>
      <c r="M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6"/>
      <c r="M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6"/>
      <c r="M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6"/>
      <c r="M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6"/>
      <c r="M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6"/>
      <c r="M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6"/>
      <c r="M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6"/>
      <c r="M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6"/>
      <c r="M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6"/>
      <c r="M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6"/>
      <c r="M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6"/>
      <c r="M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6"/>
      <c r="M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6"/>
      <c r="M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6"/>
      <c r="M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6"/>
      <c r="M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6"/>
      <c r="M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6"/>
      <c r="M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6"/>
      <c r="M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6"/>
      <c r="M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6"/>
      <c r="M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6"/>
      <c r="M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6"/>
      <c r="M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6"/>
      <c r="M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6"/>
      <c r="M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conditionalFormatting sqref="A2:M1007">
    <cfRule type="expression" priority="2" aboveAverage="0" equalAverage="0" bottom="0" percent="0" rank="0" text="" dxfId="0">
      <formula>$K2="Waiting for host"</formula>
    </cfRule>
    <cfRule type="expression" priority="3" aboveAverage="0" equalAverage="0" bottom="0" percent="0" rank="0" text="" dxfId="1">
      <formula>$K2="Sent in"</formula>
    </cfRule>
    <cfRule type="expression" priority="4" aboveAverage="0" equalAverage="0" bottom="0" percent="0" rank="0" text="" dxfId="2">
      <formula>$K2="Waiting in lobby"</formula>
    </cfRule>
    <cfRule type="expression" priority="5" aboveAverage="0" equalAverage="0" bottom="0" percent="0" rank="0" text="" dxfId="3">
      <formula>$K2="Rescheduled"</formula>
    </cfRule>
    <cfRule type="expression" priority="6" aboveAverage="0" equalAverage="0" bottom="0" percent="0" rank="0" text="" dxfId="4">
      <formula>$K2="Left at front desk"</formula>
    </cfRule>
    <cfRule type="expression" priority="7" aboveAverage="0" equalAverage="0" bottom="0" percent="0" rank="0" text="" dxfId="5">
      <formula>$K2="No response - front desk calling"</formula>
    </cfRule>
    <cfRule type="expression" priority="8" aboveAverage="0" equalAverage="0" bottom="0" percent="0" rank="0" text="" dxfId="6">
      <formula>$K2="Employee Unavailable"</formula>
    </cfRule>
    <cfRule type="expression" priority="9" aboveAverage="0" equalAverage="0" bottom="0" percent="0" rank="0" text="" dxfId="7">
      <formula>$K2="Front desk to assist"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26" min="4" style="0" width="8.71"/>
  </cols>
  <sheetData>
    <row r="1" customFormat="false" ht="17.35" hidden="false" customHeight="false" outlineLevel="0" collapsed="false">
      <c r="A1" s="7" t="s">
        <v>13</v>
      </c>
    </row>
    <row r="2" customFormat="false" ht="15" hidden="false" customHeight="false" outlineLevel="0" collapsed="false">
      <c r="A2" s="8" t="s">
        <v>14</v>
      </c>
    </row>
    <row r="4" customFormat="false" ht="15" hidden="false" customHeight="false" outlineLevel="0" collapsed="false">
      <c r="A4" s="9" t="s">
        <v>10</v>
      </c>
      <c r="B4" s="9" t="s">
        <v>15</v>
      </c>
      <c r="C4" s="9" t="s">
        <v>16</v>
      </c>
    </row>
    <row r="5" customFormat="false" ht="15" hidden="false" customHeight="false" outlineLevel="0" collapsed="false">
      <c r="A5" s="10" t="s">
        <v>17</v>
      </c>
      <c r="B5" s="11" t="n">
        <f aca="true">SUMPRODUCT(('Visitor Board'!$K$2:$K$1000=$A5)*(TEXT('Visitor Board'!$B$2:$B$1000,"yyyy-mm-dd")=TEXT(TODAY(),"yyyy-mm-dd")))</f>
        <v>0</v>
      </c>
      <c r="C5" s="11" t="n">
        <f aca="false">COUNTIF('Visitor Board'!$K$2:$K$1000,$A5)</f>
        <v>0</v>
      </c>
    </row>
    <row r="6" customFormat="false" ht="15" hidden="false" customHeight="false" outlineLevel="0" collapsed="false">
      <c r="A6" s="12" t="s">
        <v>18</v>
      </c>
      <c r="B6" s="11" t="n">
        <f aca="true">SUMPRODUCT(('Visitor Board'!$K$2:$K$1000=$A6)*(TEXT('Visitor Board'!$B$2:$B$1000,"yyyy-mm-dd")=TEXT(TODAY(),"yyyy-mm-dd")))</f>
        <v>0</v>
      </c>
      <c r="C6" s="11" t="n">
        <f aca="false">COUNTIF('Visitor Board'!$K$2:$K$1000,$A6)</f>
        <v>0</v>
      </c>
    </row>
    <row r="7" customFormat="false" ht="15" hidden="false" customHeight="false" outlineLevel="0" collapsed="false">
      <c r="A7" s="13" t="s">
        <v>19</v>
      </c>
      <c r="B7" s="11" t="n">
        <f aca="true">SUMPRODUCT(('Visitor Board'!$K$2:$K$1000=$A7)*(TEXT('Visitor Board'!$B$2:$B$1000,"yyyy-mm-dd")=TEXT(TODAY(),"yyyy-mm-dd")))</f>
        <v>0</v>
      </c>
      <c r="C7" s="11" t="n">
        <f aca="false">COUNTIF('Visitor Board'!$K$2:$K$1000,$A7)</f>
        <v>0</v>
      </c>
    </row>
    <row r="8" customFormat="false" ht="15" hidden="false" customHeight="false" outlineLevel="0" collapsed="false">
      <c r="A8" s="14" t="s">
        <v>20</v>
      </c>
      <c r="B8" s="11" t="n">
        <f aca="true">SUMPRODUCT(('Visitor Board'!$K$2:$K$1000=$A8)*(TEXT('Visitor Board'!$B$2:$B$1000,"yyyy-mm-dd")=TEXT(TODAY(),"yyyy-mm-dd")))</f>
        <v>0</v>
      </c>
      <c r="C8" s="11" t="n">
        <f aca="false">COUNTIF('Visitor Board'!$K$2:$K$1000,$A8)</f>
        <v>0</v>
      </c>
    </row>
    <row r="9" customFormat="false" ht="15" hidden="false" customHeight="false" outlineLevel="0" collapsed="false">
      <c r="A9" s="15" t="s">
        <v>21</v>
      </c>
      <c r="B9" s="11" t="n">
        <f aca="true">SUMPRODUCT(('Visitor Board'!$K$2:$K$1000=$A9)*(TEXT('Visitor Board'!$B$2:$B$1000,"yyyy-mm-dd")=TEXT(TODAY(),"yyyy-mm-dd")))</f>
        <v>0</v>
      </c>
      <c r="C9" s="11" t="n">
        <f aca="false">COUNTIF('Visitor Board'!$K$2:$K$1000,$A9)</f>
        <v>0</v>
      </c>
    </row>
    <row r="10" customFormat="false" ht="15" hidden="false" customHeight="false" outlineLevel="0" collapsed="false">
      <c r="A10" s="16" t="s">
        <v>22</v>
      </c>
      <c r="B10" s="11" t="n">
        <f aca="true">SUMPRODUCT(('Visitor Board'!$K$2:$K$1000=$A10)*(TEXT('Visitor Board'!$B$2:$B$1000,"yyyy-mm-dd")=TEXT(TODAY(),"yyyy-mm-dd")))</f>
        <v>0</v>
      </c>
      <c r="C10" s="11" t="n">
        <f aca="false">COUNTIF('Visitor Board'!$K$2:$K$1000,$A10)</f>
        <v>0</v>
      </c>
    </row>
    <row r="11" customFormat="false" ht="15" hidden="false" customHeight="false" outlineLevel="0" collapsed="false">
      <c r="A11" s="17" t="s">
        <v>23</v>
      </c>
      <c r="B11" s="11" t="n">
        <f aca="true">SUMPRODUCT(('Visitor Board'!$K$2:$K$1000=$A11)*(TEXT('Visitor Board'!$B$2:$B$1000,"yyyy-mm-dd")=TEXT(TODAY(),"yyyy-mm-dd")))</f>
        <v>0</v>
      </c>
      <c r="C11" s="11" t="n">
        <f aca="false">COUNTIF('Visitor Board'!$K$2:$K$1000,$A11)</f>
        <v>0</v>
      </c>
    </row>
    <row r="12" customFormat="false" ht="15" hidden="false" customHeight="false" outlineLevel="0" collapsed="false">
      <c r="A12" s="18" t="s">
        <v>24</v>
      </c>
      <c r="B12" s="11" t="n">
        <f aca="true">SUMPRODUCT(('Visitor Board'!$K$2:$K$1000=$A12)*(TEXT('Visitor Board'!$B$2:$B$1000,"yyyy-mm-dd")=TEXT(TODAY(),"yyyy-mm-dd")))</f>
        <v>0</v>
      </c>
      <c r="C12" s="11" t="n">
        <f aca="false">COUNTIF('Visitor Board'!$K$2:$K$1000,$A12)</f>
        <v>0</v>
      </c>
    </row>
    <row r="13" customFormat="false" ht="15" hidden="false" customHeight="false" outlineLevel="0" collapsed="false">
      <c r="A13" s="19" t="s">
        <v>25</v>
      </c>
      <c r="B13" s="19" t="n">
        <f aca="false">SUM(B5:B12)</f>
        <v>0</v>
      </c>
      <c r="C13" s="19" t="n">
        <f aca="false">SUM(C5:C12)</f>
        <v>0</v>
      </c>
    </row>
    <row r="14" customFormat="false" ht="15" hidden="false" customHeight="false" outlineLevel="0" collapsed="false">
      <c r="A14" s="11"/>
      <c r="B14" s="11"/>
      <c r="C14" s="11"/>
    </row>
    <row r="15" customFormat="false" ht="15" hidden="false" customHeight="false" outlineLevel="0" collapsed="false">
      <c r="A15" s="9" t="s">
        <v>7</v>
      </c>
      <c r="B15" s="9" t="s">
        <v>15</v>
      </c>
      <c r="C15" s="9" t="s">
        <v>16</v>
      </c>
    </row>
    <row r="16" customFormat="false" ht="15" hidden="false" customHeight="false" outlineLevel="0" collapsed="false">
      <c r="A16" s="11" t="s">
        <v>26</v>
      </c>
      <c r="B16" s="11" t="n">
        <f aca="true">SUMPRODUCT(('Visitor Board'!$H$2:$H$1000=$A16)*(TEXT('Visitor Board'!$B$2:$B$1000,"yyyy-mm-dd")=TEXT(TODAY(),"yyyy-mm-dd")))</f>
        <v>0</v>
      </c>
      <c r="C16" s="11" t="n">
        <f aca="false">COUNTIF('Visitor Board'!$H$2:$H$1000,$A16)</f>
        <v>0</v>
      </c>
    </row>
    <row r="17" customFormat="false" ht="15" hidden="false" customHeight="false" outlineLevel="0" collapsed="false">
      <c r="A17" s="11" t="s">
        <v>27</v>
      </c>
      <c r="B17" s="11" t="n">
        <f aca="true">SUMPRODUCT(('Visitor Board'!$H$2:$H$1000=$A17)*(TEXT('Visitor Board'!$B$2:$B$1000,"yyyy-mm-dd")=TEXT(TODAY(),"yyyy-mm-dd")))</f>
        <v>0</v>
      </c>
      <c r="C17" s="11" t="n">
        <f aca="false">COUNTIF('Visitor Board'!$H$2:$H$1000,$A17)</f>
        <v>0</v>
      </c>
    </row>
    <row r="18" customFormat="false" ht="15" hidden="false" customHeight="false" outlineLevel="0" collapsed="false">
      <c r="A18" s="11" t="s">
        <v>28</v>
      </c>
      <c r="B18" s="11" t="n">
        <f aca="true">SUMPRODUCT(('Visitor Board'!$H$2:$H$1000=$A18)*(TEXT('Visitor Board'!$B$2:$B$1000,"yyyy-mm-dd")=TEXT(TODAY(),"yyyy-mm-dd")))</f>
        <v>0</v>
      </c>
      <c r="C18" s="11" t="n">
        <f aca="false">COUNTIF('Visitor Board'!$H$2:$H$1000,$A18)</f>
        <v>0</v>
      </c>
    </row>
    <row r="19" customFormat="false" ht="15" hidden="false" customHeight="false" outlineLevel="0" collapsed="false">
      <c r="A19" s="11" t="s">
        <v>29</v>
      </c>
      <c r="B19" s="11" t="n">
        <f aca="true">SUMPRODUCT(('Visitor Board'!$H$2:$H$1000=$A19)*(TEXT('Visitor Board'!$B$2:$B$1000,"yyyy-mm-dd")=TEXT(TODAY(),"yyyy-mm-dd")))</f>
        <v>0</v>
      </c>
      <c r="C19" s="11" t="n">
        <f aca="false">COUNTIF('Visitor Board'!$H$2:$H$1000,$A19)</f>
        <v>0</v>
      </c>
    </row>
    <row r="20" customFormat="false" ht="15" hidden="false" customHeight="false" outlineLevel="0" collapsed="false">
      <c r="A20" s="11" t="s">
        <v>30</v>
      </c>
      <c r="B20" s="11" t="n">
        <f aca="true">SUMPRODUCT(('Visitor Board'!$H$2:$H$1000=$A20)*(TEXT('Visitor Board'!$B$2:$B$1000,"yyyy-mm-dd")=TEXT(TODAY(),"yyyy-mm-dd")))</f>
        <v>0</v>
      </c>
      <c r="C20" s="11" t="n">
        <f aca="false">COUNTIF('Visitor Board'!$H$2:$H$1000,$A20)</f>
        <v>0</v>
      </c>
    </row>
    <row r="21" customFormat="false" ht="15.75" hidden="false" customHeight="true" outlineLevel="0" collapsed="false">
      <c r="A21" s="11" t="s">
        <v>31</v>
      </c>
      <c r="B21" s="11" t="n">
        <f aca="true">SUMPRODUCT(('Visitor Board'!$H$2:$H$1000=$A21)*(TEXT('Visitor Board'!$B$2:$B$1000,"yyyy-mm-dd")=TEXT(TODAY(),"yyyy-mm-dd")))</f>
        <v>0</v>
      </c>
      <c r="C21" s="11" t="n">
        <f aca="false">COUNTIF('Visitor Board'!$H$2:$H$1000,$A21)</f>
        <v>0</v>
      </c>
    </row>
    <row r="22" customFormat="false" ht="15.75" hidden="false" customHeight="true" outlineLevel="0" collapsed="false">
      <c r="A22" s="11"/>
      <c r="B22" s="11"/>
      <c r="C22" s="1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8.71"/>
  </cols>
  <sheetData>
    <row r="1" customFormat="false" ht="16.15" hidden="false" customHeight="false" outlineLevel="0" collapsed="false">
      <c r="A1" s="20" t="s">
        <v>32</v>
      </c>
    </row>
    <row r="2" customFormat="false" ht="15" hidden="false" customHeight="false" outlineLevel="0" collapsed="false">
      <c r="A2" s="21" t="s">
        <v>33</v>
      </c>
    </row>
    <row r="3" customFormat="false" ht="23.85" hidden="false" customHeight="false" outlineLevel="0" collapsed="false">
      <c r="A3" s="21" t="s">
        <v>34</v>
      </c>
    </row>
    <row r="4" customFormat="false" ht="15" hidden="false" customHeight="false" outlineLevel="0" collapsed="false">
      <c r="A4" s="21" t="s">
        <v>35</v>
      </c>
    </row>
    <row r="5" customFormat="false" ht="15" hidden="false" customHeight="false" outlineLevel="0" collapsed="false">
      <c r="A5" s="21" t="s">
        <v>36</v>
      </c>
    </row>
    <row r="6" customFormat="false" ht="15" hidden="false" customHeight="false" outlineLevel="0" collapsed="false">
      <c r="A6" s="21"/>
    </row>
    <row r="7" customFormat="false" ht="15" hidden="false" customHeight="false" outlineLevel="0" collapsed="false">
      <c r="A7" s="22" t="s">
        <v>37</v>
      </c>
    </row>
    <row r="8" customFormat="false" ht="15" hidden="false" customHeight="false" outlineLevel="0" collapsed="false">
      <c r="A8" s="21" t="s">
        <v>38</v>
      </c>
    </row>
    <row r="9" customFormat="false" ht="23.85" hidden="false" customHeight="false" outlineLevel="0" collapsed="false">
      <c r="A9" s="21" t="s">
        <v>39</v>
      </c>
    </row>
    <row r="10" customFormat="false" ht="15" hidden="false" customHeight="false" outlineLevel="0" collapsed="false">
      <c r="A10" s="21"/>
    </row>
    <row r="11" customFormat="false" ht="23.85" hidden="false" customHeight="false" outlineLevel="0" collapsed="false">
      <c r="A11" s="21" t="s">
        <v>40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2026-10-08T07:10:16Z</dcterms:created>
  <dc:creator>SmartLobby</dc:creator>
  <dc:description/>
  <dc:language>en-US</dc:language>
  <cp:lastModifiedBy>SmartLobby</cp:lastModifiedBy>
  <dcterms:modified xsi:type="dcterms:W3CDTF">2026-10-08T07:10:16Z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